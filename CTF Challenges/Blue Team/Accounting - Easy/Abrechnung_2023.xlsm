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incor\Desktop\Github\Neuland-CTF-2023\CTF Challenges\Blue Team\Accounting - Easy\"/>
    </mc:Choice>
  </mc:AlternateContent>
  <xr:revisionPtr revIDLastSave="0" documentId="13_ncr:1_{37781EFC-FCA3-4932-A747-0C81BC234126}" xr6:coauthVersionLast="47" xr6:coauthVersionMax="47" xr10:uidLastSave="{00000000-0000-0000-0000-000000000000}"/>
  <bookViews>
    <workbookView xWindow="-55800" yWindow="-4575" windowWidth="21600" windowHeight="11295" xr2:uid="{00000000-000D-0000-FFFF-FFFF00000000}"/>
  </bookViews>
  <sheets>
    <sheet name="Abrechnung" sheetId="1" r:id="rId1"/>
  </sheets>
  <definedNames>
    <definedName name="_xlnm.Print_Area" localSheetId="0">Abrechnung!$B$1:$H$41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/>
  <c r="H30" i="1" s="1"/>
  <c r="D38" i="1" s="1"/>
  <c r="H16" i="1"/>
  <c r="H17" i="1"/>
  <c r="H18" i="1"/>
  <c r="H19" i="1"/>
  <c r="H20" i="1"/>
  <c r="H21" i="1"/>
  <c r="H22" i="1"/>
  <c r="H23" i="1"/>
  <c r="H24" i="1"/>
  <c r="H25" i="1"/>
  <c r="H26" i="1"/>
  <c r="H27" i="1"/>
  <c r="H29" i="1"/>
  <c r="C9" i="1"/>
  <c r="D37" i="1" s="1"/>
  <c r="D36" i="1"/>
  <c r="D35" i="1"/>
</calcChain>
</file>

<file path=xl/sharedStrings.xml><?xml version="1.0" encoding="utf-8"?>
<sst xmlns="http://schemas.openxmlformats.org/spreadsheetml/2006/main" count="43" uniqueCount="36">
  <si>
    <t>Telefon:</t>
  </si>
  <si>
    <t>Fax:</t>
  </si>
  <si>
    <t>E-Mail:</t>
  </si>
  <si>
    <t>Abrechnung</t>
  </si>
  <si>
    <t>Abrechnungsnr.:</t>
  </si>
  <si>
    <t>Rechnungsadresse:</t>
  </si>
  <si>
    <t>Datum:</t>
  </si>
  <si>
    <t>Kunden-Code:</t>
  </si>
  <si>
    <t>Datum</t>
  </si>
  <si>
    <t>Format</t>
  </si>
  <si>
    <t>Rechnungsnr.</t>
  </si>
  <si>
    <t>Beschreibung</t>
  </si>
  <si>
    <t>Betrag</t>
  </si>
  <si>
    <t>Zahlung</t>
  </si>
  <si>
    <t>Ausgleich</t>
  </si>
  <si>
    <r>
      <t xml:space="preserve">Mahnung: </t>
    </r>
    <r>
      <rPr>
        <sz val="10"/>
        <color indexed="55"/>
        <rFont val="Tahoma"/>
        <family val="2"/>
      </rPr>
      <t>Geben Sie auf dem Scheck die Abrechnungsnummer an.</t>
    </r>
  </si>
  <si>
    <t> Summe</t>
  </si>
  <si>
    <r>
      <t xml:space="preserve">Konditionen: </t>
    </r>
    <r>
      <rPr>
        <sz val="10"/>
        <color indexed="55"/>
        <rFont val="Tahoma"/>
        <family val="2"/>
      </rPr>
      <t>Innerhalb von 30 Tagen zu bezahlen.</t>
    </r>
  </si>
  <si>
    <t>ÜBERWEISUNG</t>
  </si>
  <si>
    <t>Name des Kunden:</t>
  </si>
  <si>
    <t>Kundenname eingeben</t>
  </si>
  <si>
    <t>Fälliger Betrag:</t>
  </si>
  <si>
    <t>Beigefügter Betrag:</t>
  </si>
  <si>
    <t>(+123) 4 56 78 90</t>
  </si>
  <si>
    <t>ctf@neuland-ingolstadt.de</t>
  </si>
  <si>
    <t>Neuland CTF</t>
  </si>
  <si>
    <t>Esplanade 10</t>
  </si>
  <si>
    <t>85049 Ingolstadt</t>
  </si>
  <si>
    <t>Neuland Ingolstadt e.V.</t>
  </si>
  <si>
    <t>Deutschland</t>
  </si>
  <si>
    <t>Herr Hackermann</t>
  </si>
  <si>
    <t>nland{D4s_</t>
  </si>
  <si>
    <t>H4b3n_W1R</t>
  </si>
  <si>
    <t>_s0_pR09r4MM13Rt,</t>
  </si>
  <si>
    <t>_1n_3xc3L}</t>
  </si>
  <si>
    <t>You must enable macros before using this workbook!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</si>
</sst>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m\ d\,\ yyyy;@"/>
    <numFmt numFmtId="165" formatCode="&quot;$&quot;#,##0.00_);\(&quot;$&quot;#,##0.00\)"/>
    <numFmt numFmtId="166" formatCode="#,##0.00\ [$€-407]"/>
  </numFmts>
  <fonts count="11" x14ac:knownFonts="1">
    <font>
      <sz val="10"/>
      <name val="Arial"/>
    </font>
    <font>
      <u/>
      <sz val="10"/>
      <color indexed="12"/>
      <name val="Arial"/>
      <family val="2"/>
    </font>
    <font>
      <sz val="10"/>
      <name val="Tahoma"/>
      <family val="2"/>
    </font>
    <font>
      <b/>
      <sz val="16"/>
      <name val="Tahoma"/>
      <family val="2"/>
    </font>
    <font>
      <sz val="10"/>
      <color indexed="9"/>
      <name val="Tahoma"/>
      <family val="2"/>
    </font>
    <font>
      <b/>
      <sz val="10"/>
      <color indexed="55"/>
      <name val="Tahoma"/>
      <family val="2"/>
    </font>
    <font>
      <b/>
      <i/>
      <sz val="14"/>
      <color indexed="55"/>
      <name val="Tahoma"/>
      <family val="2"/>
    </font>
    <font>
      <b/>
      <sz val="10"/>
      <name val="Tahoma"/>
      <family val="2"/>
    </font>
    <font>
      <sz val="10"/>
      <color indexed="55"/>
      <name val="Tahoma"/>
      <family val="2"/>
    </font>
    <font>
      <sz val="10"/>
      <color theme="0"/>
      <name val="Tahoma"/>
      <family val="2"/>
    </font>
    <font>
      <b/>
      <sz val="10"/>
      <color rgb="FFFF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55"/>
      </left>
      <right style="thin">
        <color indexed="64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thin">
        <color indexed="55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2" fillId="0" borderId="0" xfId="0" applyNumberFormat="1" applyFont="1"/>
    <xf numFmtId="0" fontId="1" fillId="0" borderId="0" xfId="1"/>
    <xf numFmtId="0" fontId="6" fillId="0" borderId="0" xfId="0" applyFont="1"/>
    <xf numFmtId="0" fontId="5" fillId="0" borderId="0" xfId="0" applyFont="1" applyAlignment="1">
      <alignment horizontal="left" indent="1"/>
    </xf>
    <xf numFmtId="0" fontId="7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5" fillId="0" borderId="4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6" xfId="0" applyFont="1" applyBorder="1"/>
    <xf numFmtId="0" fontId="2" fillId="0" borderId="4" xfId="0" applyFont="1" applyBorder="1"/>
    <xf numFmtId="164" fontId="2" fillId="0" borderId="4" xfId="0" applyNumberFormat="1" applyFont="1" applyBorder="1" applyAlignment="1">
      <alignment horizontal="left"/>
    </xf>
    <xf numFmtId="165" fontId="2" fillId="0" borderId="4" xfId="0" applyNumberFormat="1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165" fontId="2" fillId="0" borderId="9" xfId="0" applyNumberFormat="1" applyFont="1" applyBorder="1" applyAlignment="1">
      <alignment horizontal="left"/>
    </xf>
    <xf numFmtId="0" fontId="2" fillId="0" borderId="10" xfId="0" applyFont="1" applyBorder="1"/>
    <xf numFmtId="166" fontId="7" fillId="3" borderId="11" xfId="0" applyNumberFormat="1" applyFont="1" applyFill="1" applyBorder="1" applyAlignment="1">
      <alignment horizontal="center" vertical="center"/>
    </xf>
    <xf numFmtId="166" fontId="7" fillId="3" borderId="12" xfId="0" applyNumberFormat="1" applyFont="1" applyFill="1" applyBorder="1" applyAlignment="1">
      <alignment horizontal="center" vertical="center"/>
    </xf>
    <xf numFmtId="166" fontId="7" fillId="3" borderId="12" xfId="0" applyNumberFormat="1" applyFont="1" applyFill="1" applyBorder="1" applyAlignment="1">
      <alignment horizontal="center" vertical="center" wrapText="1"/>
    </xf>
    <xf numFmtId="166" fontId="2" fillId="0" borderId="13" xfId="0" applyNumberFormat="1" applyFont="1" applyBorder="1" applyAlignment="1">
      <alignment horizontal="left" vertical="center" indent="1"/>
    </xf>
    <xf numFmtId="166" fontId="2" fillId="0" borderId="14" xfId="0" applyNumberFormat="1" applyFont="1" applyBorder="1" applyAlignment="1">
      <alignment horizontal="left" vertical="center" indent="1"/>
    </xf>
    <xf numFmtId="166" fontId="2" fillId="0" borderId="14" xfId="0" applyNumberFormat="1" applyFont="1" applyBorder="1" applyAlignment="1">
      <alignment horizontal="left" vertical="center" wrapText="1" indent="1"/>
    </xf>
    <xf numFmtId="166" fontId="2" fillId="0" borderId="14" xfId="0" applyNumberFormat="1" applyFont="1" applyBorder="1" applyAlignment="1">
      <alignment vertical="center"/>
    </xf>
    <xf numFmtId="166" fontId="2" fillId="4" borderId="15" xfId="0" applyNumberFormat="1" applyFont="1" applyFill="1" applyBorder="1" applyAlignment="1">
      <alignment vertical="center"/>
    </xf>
    <xf numFmtId="166" fontId="2" fillId="0" borderId="16" xfId="0" applyNumberFormat="1" applyFont="1" applyBorder="1" applyAlignment="1">
      <alignment horizontal="left" vertical="center" indent="1"/>
    </xf>
    <xf numFmtId="166" fontId="2" fillId="0" borderId="17" xfId="0" applyNumberFormat="1" applyFont="1" applyBorder="1" applyAlignment="1">
      <alignment horizontal="left" vertical="center" indent="1"/>
    </xf>
    <xf numFmtId="166" fontId="2" fillId="0" borderId="17" xfId="0" applyNumberFormat="1" applyFont="1" applyBorder="1" applyAlignment="1">
      <alignment horizontal="left" vertical="center" wrapText="1" indent="1"/>
    </xf>
    <xf numFmtId="166" fontId="2" fillId="0" borderId="17" xfId="0" applyNumberFormat="1" applyFont="1" applyBorder="1" applyAlignment="1">
      <alignment vertical="center"/>
    </xf>
    <xf numFmtId="166" fontId="2" fillId="0" borderId="18" xfId="0" applyNumberFormat="1" applyFont="1" applyBorder="1" applyAlignment="1">
      <alignment vertical="center"/>
    </xf>
    <xf numFmtId="166" fontId="5" fillId="0" borderId="0" xfId="0" applyNumberFormat="1" applyFont="1" applyAlignment="1">
      <alignment horizontal="left"/>
    </xf>
    <xf numFmtId="166" fontId="2" fillId="0" borderId="0" xfId="0" applyNumberFormat="1" applyFont="1"/>
    <xf numFmtId="166" fontId="7" fillId="3" borderId="1" xfId="0" applyNumberFormat="1" applyFont="1" applyFill="1" applyBorder="1" applyAlignment="1">
      <alignment horizontal="right" vertical="center" indent="1"/>
    </xf>
    <xf numFmtId="166" fontId="2" fillId="4" borderId="19" xfId="0" applyNumberFormat="1" applyFont="1" applyFill="1" applyBorder="1" applyAlignment="1">
      <alignment vertical="center"/>
    </xf>
    <xf numFmtId="0" fontId="9" fillId="0" borderId="0" xfId="0" applyFont="1"/>
    <xf numFmtId="0" fontId="2" fillId="0" borderId="0" xfId="0" applyFont="1" applyAlignment="1">
      <alignment horizontal="left" indent="1"/>
    </xf>
    <xf numFmtId="0" fontId="2" fillId="0" borderId="0" xfId="0" applyFont="1" applyAlignment="1">
      <alignment shrinkToFit="1"/>
    </xf>
    <xf numFmtId="0" fontId="3" fillId="0" borderId="0" xfId="0" applyFont="1" applyAlignment="1">
      <alignment vertical="center"/>
    </xf>
    <xf numFmtId="164" fontId="2" fillId="0" borderId="0" xfId="0" applyNumberFormat="1" applyFont="1" applyAlignment="1">
      <alignment horizontal="left" indent="1"/>
    </xf>
    <xf numFmtId="0" fontId="10" fillId="0" borderId="0" xfId="0" applyFont="1" applyAlignment="1">
      <alignment vertical="center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D8E4E8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EAEAEA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tf@neuland-ingolstadt.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indexed="14"/>
    <pageSetUpPr fitToPage="1"/>
  </sheetPr>
  <dimension ref="B1:AI749"/>
  <sheetViews>
    <sheetView showGridLines="0" showZeros="0" tabSelected="1" workbookViewId="0">
      <selection activeCell="J4" sqref="J4"/>
    </sheetView>
  </sheetViews>
  <sheetFormatPr baseColWidth="10" defaultColWidth="9.140625" defaultRowHeight="12.75" x14ac:dyDescent="0.2"/>
  <cols>
    <col min="1" max="1" width="2" style="1" customWidth="1"/>
    <col min="2" max="2" width="14.7109375" style="1" customWidth="1"/>
    <col min="3" max="3" width="11.42578125" style="1" customWidth="1"/>
    <col min="4" max="4" width="21.140625" style="1" customWidth="1"/>
    <col min="5" max="5" width="25.42578125" style="1" customWidth="1"/>
    <col min="6" max="6" width="10.42578125" style="1" customWidth="1"/>
    <col min="7" max="7" width="16.7109375" style="1" bestFit="1" customWidth="1"/>
    <col min="8" max="8" width="11.42578125" style="1" customWidth="1"/>
    <col min="9" max="16384" width="9.140625" style="1"/>
  </cols>
  <sheetData>
    <row r="1" spans="2:8" ht="39" customHeight="1" x14ac:dyDescent="0.2">
      <c r="B1" s="44" t="s">
        <v>25</v>
      </c>
      <c r="C1" s="44"/>
      <c r="D1" s="44"/>
      <c r="E1" s="46" t="s">
        <v>35</v>
      </c>
      <c r="F1" s="2"/>
      <c r="G1" s="2"/>
      <c r="H1" s="2"/>
    </row>
    <row r="2" spans="2:8" x14ac:dyDescent="0.2">
      <c r="B2" s="3" t="s">
        <v>29</v>
      </c>
      <c r="F2" s="5" t="s">
        <v>0</v>
      </c>
      <c r="G2" s="6" t="s">
        <v>23</v>
      </c>
      <c r="H2" s="6"/>
    </row>
    <row r="3" spans="2:8" x14ac:dyDescent="0.2">
      <c r="B3" s="3" t="s">
        <v>26</v>
      </c>
      <c r="F3" s="5" t="s">
        <v>1</v>
      </c>
      <c r="G3" s="6" t="s">
        <v>23</v>
      </c>
      <c r="H3" s="6"/>
    </row>
    <row r="4" spans="2:8" x14ac:dyDescent="0.2">
      <c r="B4" s="3" t="s">
        <v>27</v>
      </c>
      <c r="C4" s="3"/>
      <c r="F4" s="5" t="s">
        <v>2</v>
      </c>
      <c r="G4" s="7" t="s">
        <v>24</v>
      </c>
    </row>
    <row r="5" spans="2:8" x14ac:dyDescent="0.2">
      <c r="F5" s="4"/>
    </row>
    <row r="6" spans="2:8" ht="18" x14ac:dyDescent="0.25">
      <c r="B6" s="8" t="s">
        <v>3</v>
      </c>
      <c r="C6" s="8"/>
      <c r="F6" s="4"/>
    </row>
    <row r="7" spans="2:8" x14ac:dyDescent="0.2">
      <c r="F7" s="4"/>
    </row>
    <row r="8" spans="2:8" x14ac:dyDescent="0.2">
      <c r="B8" s="9" t="s">
        <v>4</v>
      </c>
      <c r="C8" s="42">
        <v>1234567</v>
      </c>
      <c r="D8" s="42"/>
      <c r="F8" s="5" t="s">
        <v>5</v>
      </c>
      <c r="G8" s="43" t="s">
        <v>30</v>
      </c>
      <c r="H8" s="43"/>
    </row>
    <row r="9" spans="2:8" x14ac:dyDescent="0.2">
      <c r="B9" s="9" t="s">
        <v>6</v>
      </c>
      <c r="C9" s="45">
        <f ca="1">TODAY()</f>
        <v>45146</v>
      </c>
      <c r="D9" s="45"/>
      <c r="G9" s="43" t="s">
        <v>28</v>
      </c>
      <c r="H9" s="43"/>
    </row>
    <row r="10" spans="2:8" x14ac:dyDescent="0.2">
      <c r="B10" s="9" t="s">
        <v>7</v>
      </c>
      <c r="C10" s="42">
        <v>1337</v>
      </c>
      <c r="D10" s="42"/>
      <c r="G10" s="43" t="s">
        <v>29</v>
      </c>
      <c r="H10" s="43"/>
    </row>
    <row r="11" spans="2:8" x14ac:dyDescent="0.2">
      <c r="G11" s="43" t="s">
        <v>26</v>
      </c>
      <c r="H11" s="43"/>
    </row>
    <row r="12" spans="2:8" x14ac:dyDescent="0.2">
      <c r="G12" s="43" t="s">
        <v>27</v>
      </c>
      <c r="H12" s="43"/>
    </row>
    <row r="14" spans="2:8" ht="23.25" customHeight="1" thickBot="1" x14ac:dyDescent="0.25">
      <c r="B14" s="24" t="s">
        <v>8</v>
      </c>
      <c r="C14" s="25" t="s">
        <v>9</v>
      </c>
      <c r="D14" s="25" t="s">
        <v>10</v>
      </c>
      <c r="E14" s="25" t="s">
        <v>11</v>
      </c>
      <c r="F14" s="25" t="s">
        <v>12</v>
      </c>
      <c r="G14" s="26" t="s">
        <v>13</v>
      </c>
      <c r="H14" s="26" t="s">
        <v>14</v>
      </c>
    </row>
    <row r="15" spans="2:8" ht="19.5" customHeight="1" x14ac:dyDescent="0.2">
      <c r="B15" s="27"/>
      <c r="C15" s="28"/>
      <c r="D15" s="28"/>
      <c r="E15" s="29"/>
      <c r="F15" s="30"/>
      <c r="G15" s="30"/>
      <c r="H15" s="31" t="str">
        <f t="shared" ref="H15:H27" si="0">IF(F15&gt;0,F15-G15,"")</f>
        <v/>
      </c>
    </row>
    <row r="16" spans="2:8" ht="19.5" customHeight="1" x14ac:dyDescent="0.2">
      <c r="B16" s="27"/>
      <c r="C16" s="28"/>
      <c r="D16" s="28"/>
      <c r="E16" s="29"/>
      <c r="F16" s="30"/>
      <c r="G16" s="30"/>
      <c r="H16" s="31" t="str">
        <f t="shared" si="0"/>
        <v/>
      </c>
    </row>
    <row r="17" spans="2:8" ht="19.5" customHeight="1" x14ac:dyDescent="0.2">
      <c r="B17" s="27"/>
      <c r="C17" s="28"/>
      <c r="D17" s="28"/>
      <c r="E17" s="29"/>
      <c r="F17" s="30"/>
      <c r="G17" s="30"/>
      <c r="H17" s="31" t="str">
        <f t="shared" si="0"/>
        <v/>
      </c>
    </row>
    <row r="18" spans="2:8" ht="19.5" customHeight="1" x14ac:dyDescent="0.2">
      <c r="B18" s="27"/>
      <c r="C18" s="28"/>
      <c r="D18" s="28"/>
      <c r="E18" s="29"/>
      <c r="F18" s="30"/>
      <c r="G18" s="30"/>
      <c r="H18" s="31" t="str">
        <f t="shared" si="0"/>
        <v/>
      </c>
    </row>
    <row r="19" spans="2:8" ht="19.5" customHeight="1" x14ac:dyDescent="0.2">
      <c r="B19" s="27"/>
      <c r="C19" s="28"/>
      <c r="D19" s="28"/>
      <c r="E19" s="29"/>
      <c r="F19" s="30"/>
      <c r="G19" s="30"/>
      <c r="H19" s="31" t="str">
        <f t="shared" si="0"/>
        <v/>
      </c>
    </row>
    <row r="20" spans="2:8" ht="19.5" customHeight="1" x14ac:dyDescent="0.2">
      <c r="B20" s="27"/>
      <c r="C20" s="28"/>
      <c r="D20" s="28"/>
      <c r="E20" s="29"/>
      <c r="F20" s="30"/>
      <c r="G20" s="30"/>
      <c r="H20" s="31" t="str">
        <f t="shared" si="0"/>
        <v/>
      </c>
    </row>
    <row r="21" spans="2:8" ht="19.5" customHeight="1" x14ac:dyDescent="0.2">
      <c r="B21" s="27"/>
      <c r="C21" s="28"/>
      <c r="D21" s="28"/>
      <c r="E21" s="29"/>
      <c r="F21" s="30"/>
      <c r="G21" s="30"/>
      <c r="H21" s="31" t="str">
        <f t="shared" si="0"/>
        <v/>
      </c>
    </row>
    <row r="22" spans="2:8" ht="19.5" customHeight="1" x14ac:dyDescent="0.2">
      <c r="B22" s="27"/>
      <c r="C22" s="28"/>
      <c r="D22" s="28"/>
      <c r="E22" s="29"/>
      <c r="F22" s="30"/>
      <c r="G22" s="30"/>
      <c r="H22" s="31" t="str">
        <f t="shared" si="0"/>
        <v/>
      </c>
    </row>
    <row r="23" spans="2:8" ht="19.5" customHeight="1" x14ac:dyDescent="0.2">
      <c r="B23" s="27"/>
      <c r="C23" s="28"/>
      <c r="D23" s="28"/>
      <c r="E23" s="29"/>
      <c r="F23" s="30"/>
      <c r="G23" s="30"/>
      <c r="H23" s="31" t="str">
        <f t="shared" si="0"/>
        <v/>
      </c>
    </row>
    <row r="24" spans="2:8" ht="19.5" customHeight="1" x14ac:dyDescent="0.2">
      <c r="B24" s="27"/>
      <c r="C24" s="28"/>
      <c r="D24" s="28"/>
      <c r="E24" s="29"/>
      <c r="F24" s="30"/>
      <c r="G24" s="30"/>
      <c r="H24" s="31" t="str">
        <f t="shared" si="0"/>
        <v/>
      </c>
    </row>
    <row r="25" spans="2:8" ht="19.5" customHeight="1" x14ac:dyDescent="0.2">
      <c r="B25" s="27"/>
      <c r="C25" s="28"/>
      <c r="D25" s="28"/>
      <c r="E25" s="29"/>
      <c r="F25" s="30"/>
      <c r="G25" s="30"/>
      <c r="H25" s="31" t="str">
        <f t="shared" si="0"/>
        <v/>
      </c>
    </row>
    <row r="26" spans="2:8" ht="19.5" customHeight="1" x14ac:dyDescent="0.2">
      <c r="B26" s="27"/>
      <c r="C26" s="28"/>
      <c r="D26" s="28"/>
      <c r="E26" s="29"/>
      <c r="F26" s="30"/>
      <c r="G26" s="30"/>
      <c r="H26" s="31" t="str">
        <f t="shared" si="0"/>
        <v/>
      </c>
    </row>
    <row r="27" spans="2:8" ht="19.5" customHeight="1" x14ac:dyDescent="0.2">
      <c r="B27" s="27"/>
      <c r="C27" s="28"/>
      <c r="D27" s="28"/>
      <c r="E27" s="29"/>
      <c r="F27" s="30"/>
      <c r="G27" s="30"/>
      <c r="H27" s="31" t="str">
        <f t="shared" si="0"/>
        <v/>
      </c>
    </row>
    <row r="28" spans="2:8" ht="19.5" customHeight="1" x14ac:dyDescent="0.2">
      <c r="B28" s="27"/>
      <c r="C28" s="28"/>
      <c r="D28" s="28"/>
      <c r="E28" s="29"/>
      <c r="F28" s="30"/>
      <c r="G28" s="30"/>
      <c r="H28" s="31"/>
    </row>
    <row r="29" spans="2:8" ht="19.5" customHeight="1" x14ac:dyDescent="0.2">
      <c r="B29" s="32"/>
      <c r="C29" s="33"/>
      <c r="D29" s="33"/>
      <c r="E29" s="34"/>
      <c r="F29" s="35"/>
      <c r="G29" s="36"/>
      <c r="H29" s="31" t="str">
        <f>IF(F29&gt;0,F29-G29,"")</f>
        <v/>
      </c>
    </row>
    <row r="30" spans="2:8" ht="19.5" customHeight="1" x14ac:dyDescent="0.2">
      <c r="B30" s="37" t="s">
        <v>15</v>
      </c>
      <c r="C30" s="37"/>
      <c r="D30" s="37"/>
      <c r="E30" s="37"/>
      <c r="F30" s="38"/>
      <c r="G30" s="39" t="s">
        <v>16</v>
      </c>
      <c r="H30" s="40">
        <f>SUM(H15:H29)</f>
        <v>0</v>
      </c>
    </row>
    <row r="31" spans="2:8" ht="17.25" customHeight="1" x14ac:dyDescent="0.2">
      <c r="B31" s="5" t="s">
        <v>17</v>
      </c>
      <c r="C31" s="5"/>
      <c r="D31" s="5"/>
    </row>
    <row r="32" spans="2:8" ht="9.75" customHeight="1" x14ac:dyDescent="0.2"/>
    <row r="33" spans="2:5" ht="19.5" customHeight="1" x14ac:dyDescent="0.2">
      <c r="B33" s="10" t="s">
        <v>18</v>
      </c>
      <c r="C33" s="11"/>
      <c r="D33" s="11"/>
      <c r="E33" s="12"/>
    </row>
    <row r="34" spans="2:5" ht="19.5" customHeight="1" x14ac:dyDescent="0.2">
      <c r="B34" s="13" t="s">
        <v>19</v>
      </c>
      <c r="C34" s="14"/>
      <c r="D34" s="15" t="s">
        <v>20</v>
      </c>
      <c r="E34" s="16"/>
    </row>
    <row r="35" spans="2:5" ht="19.5" customHeight="1" x14ac:dyDescent="0.2">
      <c r="B35" s="14" t="s">
        <v>7</v>
      </c>
      <c r="C35" s="17"/>
      <c r="D35" s="15">
        <f>C10</f>
        <v>1337</v>
      </c>
      <c r="E35" s="16"/>
    </row>
    <row r="36" spans="2:5" ht="19.5" customHeight="1" x14ac:dyDescent="0.2">
      <c r="B36" s="14" t="s">
        <v>4</v>
      </c>
      <c r="C36" s="17"/>
      <c r="D36" s="15">
        <f>C8</f>
        <v>1234567</v>
      </c>
      <c r="E36" s="16"/>
    </row>
    <row r="37" spans="2:5" ht="19.5" customHeight="1" x14ac:dyDescent="0.2">
      <c r="B37" s="14" t="s">
        <v>6</v>
      </c>
      <c r="C37" s="17"/>
      <c r="D37" s="18">
        <f ca="1">C9</f>
        <v>45146</v>
      </c>
      <c r="E37" s="16"/>
    </row>
    <row r="38" spans="2:5" ht="19.5" customHeight="1" x14ac:dyDescent="0.2">
      <c r="B38" s="14" t="s">
        <v>21</v>
      </c>
      <c r="C38" s="17"/>
      <c r="D38" s="19">
        <f>H30</f>
        <v>0</v>
      </c>
      <c r="E38" s="16"/>
    </row>
    <row r="39" spans="2:5" ht="19.5" customHeight="1" x14ac:dyDescent="0.2">
      <c r="B39" s="20" t="s">
        <v>22</v>
      </c>
      <c r="C39" s="21"/>
      <c r="D39" s="22"/>
      <c r="E39" s="23"/>
    </row>
    <row r="117" spans="24:24" x14ac:dyDescent="0.2">
      <c r="X117" s="41" t="s">
        <v>31</v>
      </c>
    </row>
    <row r="153" spans="6:6" x14ac:dyDescent="0.2">
      <c r="F153" s="41" t="s">
        <v>32</v>
      </c>
    </row>
    <row r="254" spans="35:35" x14ac:dyDescent="0.2">
      <c r="AI254" s="41" t="s">
        <v>33</v>
      </c>
    </row>
    <row r="749" spans="2:2" x14ac:dyDescent="0.2">
      <c r="B749" s="41" t="s">
        <v>34</v>
      </c>
    </row>
  </sheetData>
  <mergeCells count="9">
    <mergeCell ref="C10:D10"/>
    <mergeCell ref="G10:H10"/>
    <mergeCell ref="G11:H11"/>
    <mergeCell ref="G12:H12"/>
    <mergeCell ref="B1:D1"/>
    <mergeCell ref="C8:D8"/>
    <mergeCell ref="G8:H8"/>
    <mergeCell ref="C9:D9"/>
    <mergeCell ref="G9:H9"/>
  </mergeCells>
  <phoneticPr fontId="0" type="noConversion"/>
  <hyperlinks>
    <hyperlink ref="G4" r:id="rId1" xr:uid="{00000000-0004-0000-0000-000000000000}"/>
  </hyperlinks>
  <pageMargins left="0.78740157499999996" right="0.78740157499999996" top="0.984251969" bottom="0.984251969" header="0.5" footer="0.5"/>
  <pageSetup scale="85" orientation="portrait" r:id="rId2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NumericAssetId xmlns="145c5697-5eb5-440b-b2f1-a8273fb59250" xsi:nil="true"/>
    <AssetType xmlns="145c5697-5eb5-440b-b2f1-a8273fb59250">TP</AssetType>
    <Markets xmlns="145c5697-5eb5-440b-b2f1-a8273fb59250" xsi:nil="true"/>
    <AppVer xmlns="145c5697-5eb5-440b-b2f1-a8273fb59250" xsi:nil="true"/>
    <AuthoringAssetId xmlns="145c5697-5eb5-440b-b2f1-a8273fb59250">TP006206271</AuthoringAssetId>
    <AssetId xmlns="145c5697-5eb5-440b-b2f1-a8273fb59250">TS006206271</AssetId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OOFile" ma:contentTypeID="0x0101006025706CF4CD034688BEBAE97A2E701D0202003379454669468A40BB5CD7D31D7B84F6" ma:contentTypeVersion="8" ma:contentTypeDescription="Create a new document." ma:contentTypeScope="" ma:versionID="874a2782f1189a7316e3c2f684aaa9fa">
  <xsd:schema xmlns:xsd="http://www.w3.org/2001/XMLSchema" xmlns:xs="http://www.w3.org/2001/XMLSchema" xmlns:p="http://schemas.microsoft.com/office/2006/metadata/properties" xmlns:ns2="145c5697-5eb5-440b-b2f1-a8273fb59250" targetNamespace="http://schemas.microsoft.com/office/2006/metadata/properties" ma:root="true" ma:fieldsID="5c2db6c5baa0ac3fc502334ce7d6a781" ns2:_="">
    <xsd:import namespace="145c5697-5eb5-440b-b2f1-a8273fb59250"/>
    <xsd:element name="properties">
      <xsd:complexType>
        <xsd:sequence>
          <xsd:element name="documentManagement">
            <xsd:complexType>
              <xsd:all>
                <xsd:element ref="ns2:AssetId" minOccurs="0"/>
                <xsd:element ref="ns2:AuthoringAssetId" minOccurs="0"/>
                <xsd:element ref="ns2:AssetType" minOccurs="0"/>
                <xsd:element ref="ns2:Markets" minOccurs="0"/>
                <xsd:element ref="ns2:NumericAssetId" minOccurs="0"/>
                <xsd:element ref="ns2:AppV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5c5697-5eb5-440b-b2f1-a8273fb59250" elementFormDefault="qualified">
    <xsd:import namespace="http://schemas.microsoft.com/office/2006/documentManagement/types"/>
    <xsd:import namespace="http://schemas.microsoft.com/office/infopath/2007/PartnerControls"/>
    <xsd:element name="AssetId" ma:index="8" nillable="true" ma:displayName="AssetId" ma:indexed="true" ma:internalName="AssetId" ma:readOnly="false">
      <xsd:simpleType>
        <xsd:restriction base="dms:Text"/>
      </xsd:simpleType>
    </xsd:element>
    <xsd:element name="AuthoringAssetId" ma:index="9" nillable="true" ma:displayName="AuthoringAssetId" ma:indexed="true" ma:internalName="AuthoringAssetId" ma:readOnly="false">
      <xsd:simpleType>
        <xsd:restriction base="dms:Text"/>
      </xsd:simpleType>
    </xsd:element>
    <xsd:element name="AssetType" ma:index="10" nillable="true" ma:displayName="AssetType" ma:internalName="AssetType" ma:readOnly="false">
      <xsd:simpleType>
        <xsd:restriction base="dms:Text"/>
      </xsd:simpleType>
    </xsd:element>
    <xsd:element name="Markets" ma:index="11" nillable="true" ma:displayName="Markets" ma:internalName="Markets" ma:readOnly="false">
      <xsd:simpleType>
        <xsd:restriction base="dms:Text"/>
      </xsd:simpleType>
    </xsd:element>
    <xsd:element name="NumericAssetId" ma:index="12" nillable="true" ma:displayName="NumericAssetId" ma:indexed="true" ma:internalName="NumericAssetId" ma:readOnly="false">
      <xsd:simpleType>
        <xsd:restriction base="dms:Unknown"/>
      </xsd:simpleType>
    </xsd:element>
    <xsd:element name="AppVer" ma:index="13" nillable="true" ma:displayName="AppVer" ma:internalName="AppVer" ma:readOnly="fals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D593BE-6447-4D04-BEA4-481E3FCF7EA1}">
  <ds:schemaRefs>
    <ds:schemaRef ds:uri="http://schemas.microsoft.com/office/2006/metadata/properties"/>
    <ds:schemaRef ds:uri="145c5697-5eb5-440b-b2f1-a8273fb59250"/>
  </ds:schemaRefs>
</ds:datastoreItem>
</file>

<file path=customXml/itemProps2.xml><?xml version="1.0" encoding="utf-8"?>
<ds:datastoreItem xmlns:ds="http://schemas.openxmlformats.org/officeDocument/2006/customXml" ds:itemID="{6B9FA80A-0D0E-4B3B-A46A-E7336056DA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DC6A97-796D-42D0-A6CE-D73C312639EE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04375A99-7296-4DC6-BFC1-20C2B924CB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5c5697-5eb5-440b-b2f1-a8273fb592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Abrechnung</vt:lpstr>
      <vt:lpstr>Abrechnung!Druckbereich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Billing statement</dc:title>
  <dc:creator>Jana</dc:creator>
  <cp:lastModifiedBy>Jen Hofbauer</cp:lastModifiedBy>
  <cp:lastPrinted>2004-11-16T00:03:31Z</cp:lastPrinted>
  <dcterms:created xsi:type="dcterms:W3CDTF">2000-08-25T04:16:37Z</dcterms:created>
  <dcterms:modified xsi:type="dcterms:W3CDTF">2023-08-08T19:39:32Z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ID">
    <vt:lpwstr>1031</vt:lpwstr>
  </property>
  <property fmtid="{D5CDD505-2E9C-101B-9397-08002B2CF9AE}" pid="3" name="DirectSourceMarket">
    <vt:lpwstr>english</vt:lpwstr>
  </property>
  <property fmtid="{D5CDD505-2E9C-101B-9397-08002B2CF9AE}" pid="4" name="OriginalSourceMarket">
    <vt:lpwstr>english</vt:lpwstr>
  </property>
  <property fmtid="{D5CDD505-2E9C-101B-9397-08002B2CF9AE}" pid="5" name="Markets">
    <vt:lpwstr/>
  </property>
  <property fmtid="{D5CDD505-2E9C-101B-9397-08002B2CF9AE}" pid="6" name="AssetType">
    <vt:lpwstr>TP</vt:lpwstr>
  </property>
  <property fmtid="{D5CDD505-2E9C-101B-9397-08002B2CF9AE}" pid="7" name="TPInstallLocation">
    <vt:lpwstr>{My Templates}</vt:lpwstr>
  </property>
  <property fmtid="{D5CDD505-2E9C-101B-9397-08002B2CF9AE}" pid="8" name="PrimaryImageGen">
    <vt:lpwstr>1</vt:lpwstr>
  </property>
  <property fmtid="{D5CDD505-2E9C-101B-9397-08002B2CF9AE}" pid="9" name="display_urn:schemas-microsoft-com:office:office#APAuthor">
    <vt:lpwstr>REDMOND\cynvey</vt:lpwstr>
  </property>
  <property fmtid="{D5CDD505-2E9C-101B-9397-08002B2CF9AE}" pid="10" name="APAuthor">
    <vt:lpwstr>305</vt:lpwstr>
  </property>
  <property fmtid="{D5CDD505-2E9C-101B-9397-08002B2CF9AE}" pid="11" name="CHMName">
    <vt:lpwstr/>
  </property>
  <property fmtid="{D5CDD505-2E9C-101B-9397-08002B2CF9AE}" pid="12" name="Milestone">
    <vt:lpwstr>Continuous</vt:lpwstr>
  </property>
  <property fmtid="{D5CDD505-2E9C-101B-9397-08002B2CF9AE}" pid="13" name="TPAppVersion">
    <vt:lpwstr>11</vt:lpwstr>
  </property>
  <property fmtid="{D5CDD505-2E9C-101B-9397-08002B2CF9AE}" pid="14" name="TPCommandLine">
    <vt:lpwstr>{XL} /t {FilePath}</vt:lpwstr>
  </property>
  <property fmtid="{D5CDD505-2E9C-101B-9397-08002B2CF9AE}" pid="15" name="TPComponent">
    <vt:lpwstr>EXCELFiles</vt:lpwstr>
  </property>
  <property fmtid="{D5CDD505-2E9C-101B-9397-08002B2CF9AE}" pid="16" name="AssetId">
    <vt:lpwstr>TS006206271</vt:lpwstr>
  </property>
  <property fmtid="{D5CDD505-2E9C-101B-9397-08002B2CF9AE}" pid="17" name="EditorialStatus">
    <vt:lpwstr/>
  </property>
  <property fmtid="{D5CDD505-2E9C-101B-9397-08002B2CF9AE}" pid="18" name="NumericId">
    <vt:lpwstr>-1.00000000000000</vt:lpwstr>
  </property>
  <property fmtid="{D5CDD505-2E9C-101B-9397-08002B2CF9AE}" pid="19" name="PublishTargets">
    <vt:lpwstr>OfficeOnline</vt:lpwstr>
  </property>
  <property fmtid="{D5CDD505-2E9C-101B-9397-08002B2CF9AE}" pid="20" name="TPLaunchHelpLinkType">
    <vt:lpwstr>Template</vt:lpwstr>
  </property>
  <property fmtid="{D5CDD505-2E9C-101B-9397-08002B2CF9AE}" pid="21" name="TPFriendlyName">
    <vt:lpwstr>Billing statement</vt:lpwstr>
  </property>
  <property fmtid="{D5CDD505-2E9C-101B-9397-08002B2CF9AE}" pid="22" name="IsSearchable">
    <vt:lpwstr>0</vt:lpwstr>
  </property>
  <property fmtid="{D5CDD505-2E9C-101B-9397-08002B2CF9AE}" pid="23" name="display_urn:schemas-microsoft-com:office:office#APEditor">
    <vt:lpwstr>REDMOND\v-luannv</vt:lpwstr>
  </property>
  <property fmtid="{D5CDD505-2E9C-101B-9397-08002B2CF9AE}" pid="24" name="APEditor">
    <vt:lpwstr>179</vt:lpwstr>
  </property>
  <property fmtid="{D5CDD505-2E9C-101B-9397-08002B2CF9AE}" pid="25" name="SourceTitle">
    <vt:lpwstr>Billing statement</vt:lpwstr>
  </property>
  <property fmtid="{D5CDD505-2E9C-101B-9397-08002B2CF9AE}" pid="26" name="TPApplication">
    <vt:lpwstr>Excel</vt:lpwstr>
  </property>
  <property fmtid="{D5CDD505-2E9C-101B-9397-08002B2CF9AE}" pid="27" name="TPLaunchHelpLink">
    <vt:lpwstr/>
  </property>
  <property fmtid="{D5CDD505-2E9C-101B-9397-08002B2CF9AE}" pid="28" name="OpenTemplate">
    <vt:lpwstr>1</vt:lpwstr>
  </property>
  <property fmtid="{D5CDD505-2E9C-101B-9397-08002B2CF9AE}" pid="29" name="UALocRecommendation">
    <vt:lpwstr>Localize</vt:lpwstr>
  </property>
  <property fmtid="{D5CDD505-2E9C-101B-9397-08002B2CF9AE}" pid="30" name="UALocComments">
    <vt:lpwstr/>
  </property>
  <property fmtid="{D5CDD505-2E9C-101B-9397-08002B2CF9AE}" pid="31" name="Applications">
    <vt:lpwstr>11;#Excel 12;#-1;#TBD;#-1;#TBD;#-1;#TBD;#-1;#TBD;#-1;#TBD</vt:lpwstr>
  </property>
  <property fmtid="{D5CDD505-2E9C-101B-9397-08002B2CF9AE}" pid="32" name="UANotes">
    <vt:lpwstr>389015P. 389015P. LEGACY FROM TOW; June 2003 retrofit. 447517P</vt:lpwstr>
  </property>
  <property fmtid="{D5CDD505-2E9C-101B-9397-08002B2CF9AE}" pid="33" name="ContentTypeId">
    <vt:lpwstr>0x0101006025706CF4CD034688BEBAE97A2E701D0202003379454669468A40BB5CD7D31D7B84F6</vt:lpwstr>
  </property>
  <property fmtid="{D5CDD505-2E9C-101B-9397-08002B2CF9AE}" pid="34" name="IsDeleted">
    <vt:lpwstr>0</vt:lpwstr>
  </property>
  <property fmtid="{D5CDD505-2E9C-101B-9397-08002B2CF9AE}" pid="35" name="ParentAssetId">
    <vt:lpwstr/>
  </property>
  <property fmtid="{D5CDD505-2E9C-101B-9397-08002B2CF9AE}" pid="36" name="ShowIn">
    <vt:lpwstr>Show everywhere</vt:lpwstr>
  </property>
  <property fmtid="{D5CDD505-2E9C-101B-9397-08002B2CF9AE}" pid="37" name="Provider">
    <vt:lpwstr>EY006220130</vt:lpwstr>
  </property>
  <property fmtid="{D5CDD505-2E9C-101B-9397-08002B2CF9AE}" pid="38" name="TPClientViewer">
    <vt:lpwstr>Microsoft Office Excel</vt:lpwstr>
  </property>
  <property fmtid="{D5CDD505-2E9C-101B-9397-08002B2CF9AE}" pid="39" name="TPNamespace">
    <vt:lpwstr>EXCEL</vt:lpwstr>
  </property>
  <property fmtid="{D5CDD505-2E9C-101B-9397-08002B2CF9AE}" pid="40" name="PublishStatusLookup">
    <vt:lpwstr>157250</vt:lpwstr>
  </property>
  <property fmtid="{D5CDD505-2E9C-101B-9397-08002B2CF9AE}" pid="41" name="Content Type">
    <vt:lpwstr>OOFile</vt:lpwstr>
  </property>
  <property fmtid="{D5CDD505-2E9C-101B-9397-08002B2CF9AE}" pid="42" name="AuthoringAssetId">
    <vt:lpwstr>TP006206271</vt:lpwstr>
  </property>
  <property fmtid="{D5CDD505-2E9C-101B-9397-08002B2CF9AE}" pid="43" name="NumericAssetId">
    <vt:lpwstr/>
  </property>
  <property fmtid="{D5CDD505-2E9C-101B-9397-08002B2CF9AE}" pid="44" name="AppVer">
    <vt:lpwstr/>
  </property>
</Properties>
</file>